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c34c540cfb52e2/Desktop/BBL_SEASON_2/"/>
    </mc:Choice>
  </mc:AlternateContent>
  <xr:revisionPtr revIDLastSave="15" documentId="8_{5A6CD34B-1479-45AD-A15C-2336B81CAF94}" xr6:coauthVersionLast="47" xr6:coauthVersionMax="47" xr10:uidLastSave="{3D5F33A3-EC9D-44B8-B062-23DB4C850407}"/>
  <bookViews>
    <workbookView xWindow="-110" yWindow="-110" windowWidth="19420" windowHeight="11500" activeTab="1" xr2:uid="{57A77BA4-A400-4861-A46C-859E67A8FB17}"/>
  </bookViews>
  <sheets>
    <sheet name="Season Stats" sheetId="1" r:id="rId1"/>
    <sheet name="Game Logs" sheetId="2" r:id="rId2"/>
    <sheet name="Team Sta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3" l="1"/>
  <c r="F3" i="3"/>
  <c r="F4" i="3"/>
  <c r="F5" i="3"/>
  <c r="E2" i="3"/>
  <c r="E3" i="3"/>
  <c r="E4" i="3"/>
  <c r="E5" i="3"/>
  <c r="K2" i="1"/>
  <c r="K3" i="1"/>
  <c r="K4" i="1"/>
  <c r="K5" i="1"/>
  <c r="K6" i="1"/>
  <c r="K7" i="1"/>
  <c r="K8" i="1"/>
  <c r="K9" i="1"/>
  <c r="K10" i="1"/>
  <c r="K11" i="1"/>
  <c r="K12" i="1"/>
  <c r="K13" i="1"/>
  <c r="J2" i="1"/>
  <c r="J3" i="1"/>
  <c r="J4" i="1"/>
  <c r="J5" i="1"/>
  <c r="J6" i="1"/>
  <c r="J7" i="1"/>
  <c r="J8" i="1"/>
  <c r="J9" i="1"/>
  <c r="J10" i="1"/>
  <c r="J11" i="1"/>
  <c r="J12" i="1"/>
  <c r="J13" i="1"/>
  <c r="N9" i="1"/>
  <c r="C9" i="1" s="1"/>
  <c r="N2" i="1"/>
  <c r="I2" i="1" s="1"/>
  <c r="N13" i="1"/>
  <c r="E13" i="1" s="1"/>
  <c r="N10" i="1"/>
  <c r="N11" i="1"/>
  <c r="N6" i="1"/>
  <c r="D6" i="1" s="1"/>
  <c r="N5" i="1"/>
  <c r="D5" i="1" s="1"/>
  <c r="N3" i="1"/>
  <c r="D3" i="1" s="1"/>
  <c r="G5" i="3" s="1"/>
  <c r="N4" i="1"/>
  <c r="N7" i="1"/>
  <c r="G7" i="1" s="1"/>
  <c r="N8" i="1"/>
  <c r="N12" i="1"/>
  <c r="I12" i="1" s="1"/>
  <c r="D7" i="1" l="1"/>
  <c r="D4" i="1"/>
  <c r="M3" i="1"/>
  <c r="M5" i="1"/>
  <c r="M6" i="1"/>
  <c r="D8" i="1"/>
  <c r="H8" i="1"/>
  <c r="H7" i="1"/>
  <c r="H4" i="1"/>
  <c r="H3" i="1"/>
  <c r="H5" i="1"/>
  <c r="H6" i="1"/>
  <c r="E7" i="1"/>
  <c r="E4" i="1"/>
  <c r="H3" i="3" s="1"/>
  <c r="E3" i="1"/>
  <c r="H5" i="3" s="1"/>
  <c r="E5" i="1"/>
  <c r="E6" i="1"/>
  <c r="M8" i="1"/>
  <c r="M7" i="1"/>
  <c r="I6" i="1"/>
  <c r="E2" i="1"/>
  <c r="M4" i="1"/>
  <c r="I3" i="3" s="1"/>
  <c r="I9" i="1"/>
  <c r="E9" i="1"/>
  <c r="L7" i="1"/>
  <c r="L4" i="1"/>
  <c r="L6" i="1"/>
  <c r="L3" i="1"/>
  <c r="J5" i="3" s="1"/>
  <c r="G4" i="1"/>
  <c r="C8" i="1"/>
  <c r="L5" i="1"/>
  <c r="I8" i="1"/>
  <c r="G3" i="1"/>
  <c r="C7" i="1"/>
  <c r="I7" i="1"/>
  <c r="G5" i="1"/>
  <c r="C4" i="1"/>
  <c r="D3" i="3" s="1"/>
  <c r="I4" i="1"/>
  <c r="G6" i="1"/>
  <c r="C3" i="1"/>
  <c r="D5" i="3" s="1"/>
  <c r="I3" i="1"/>
  <c r="F6" i="1"/>
  <c r="C5" i="1"/>
  <c r="I5" i="1"/>
  <c r="E8" i="1"/>
  <c r="C6" i="1"/>
  <c r="D11" i="1"/>
  <c r="E11" i="1"/>
  <c r="I11" i="1"/>
  <c r="C11" i="1"/>
  <c r="M11" i="1"/>
  <c r="H11" i="1"/>
  <c r="L11" i="1"/>
  <c r="G11" i="1"/>
  <c r="F11" i="1"/>
  <c r="D10" i="1"/>
  <c r="G4" i="3" s="1"/>
  <c r="E10" i="1"/>
  <c r="H4" i="3" s="1"/>
  <c r="I10" i="1"/>
  <c r="C10" i="1"/>
  <c r="M10" i="1"/>
  <c r="H10" i="1"/>
  <c r="L10" i="1"/>
  <c r="G10" i="1"/>
  <c r="F10" i="1"/>
  <c r="C12" i="1"/>
  <c r="F13" i="1"/>
  <c r="D12" i="1"/>
  <c r="F2" i="1"/>
  <c r="E12" i="1"/>
  <c r="D13" i="1"/>
  <c r="F9" i="1"/>
  <c r="L12" i="1"/>
  <c r="D2" i="1"/>
  <c r="G13" i="1"/>
  <c r="M12" i="1"/>
  <c r="D9" i="1"/>
  <c r="L13" i="1"/>
  <c r="G2" i="1"/>
  <c r="L2" i="1"/>
  <c r="G9" i="1"/>
  <c r="L9" i="1"/>
  <c r="H13" i="1"/>
  <c r="F8" i="1"/>
  <c r="F12" i="1"/>
  <c r="M13" i="1"/>
  <c r="H2" i="1"/>
  <c r="F7" i="1"/>
  <c r="G12" i="1"/>
  <c r="M2" i="1"/>
  <c r="H9" i="1"/>
  <c r="F4" i="1"/>
  <c r="C13" i="1"/>
  <c r="H12" i="1"/>
  <c r="M9" i="1"/>
  <c r="I13" i="1"/>
  <c r="G8" i="1"/>
  <c r="F3" i="1"/>
  <c r="C2" i="1"/>
  <c r="D2" i="3" s="1"/>
  <c r="L8" i="1"/>
  <c r="F5" i="1"/>
  <c r="J3" i="3" l="1"/>
  <c r="J2" i="3"/>
  <c r="H2" i="3"/>
  <c r="J4" i="3"/>
  <c r="I2" i="3"/>
  <c r="I4" i="3"/>
  <c r="G2" i="3"/>
  <c r="D4" i="3"/>
  <c r="I5" i="3"/>
  <c r="G3" i="3"/>
</calcChain>
</file>

<file path=xl/sharedStrings.xml><?xml version="1.0" encoding="utf-8"?>
<sst xmlns="http://schemas.openxmlformats.org/spreadsheetml/2006/main" count="84" uniqueCount="43">
  <si>
    <t>Player</t>
  </si>
  <si>
    <t>PPG</t>
  </si>
  <si>
    <t>RPG</t>
  </si>
  <si>
    <t>FG%</t>
  </si>
  <si>
    <t>APG</t>
  </si>
  <si>
    <t>3PT%</t>
  </si>
  <si>
    <t>SPG</t>
  </si>
  <si>
    <t>BPG</t>
  </si>
  <si>
    <t>GP</t>
  </si>
  <si>
    <t>Team</t>
  </si>
  <si>
    <t>W</t>
  </si>
  <si>
    <t>L</t>
  </si>
  <si>
    <t>3P%</t>
  </si>
  <si>
    <t>REB</t>
  </si>
  <si>
    <t>BLK</t>
  </si>
  <si>
    <t>STL</t>
  </si>
  <si>
    <t>FGA</t>
  </si>
  <si>
    <t>FGM</t>
  </si>
  <si>
    <t>3PM</t>
  </si>
  <si>
    <t>3PA</t>
  </si>
  <si>
    <t>AST</t>
  </si>
  <si>
    <t>Andrew</t>
  </si>
  <si>
    <t>SamO</t>
  </si>
  <si>
    <t>SamL</t>
  </si>
  <si>
    <t>Reydro</t>
  </si>
  <si>
    <t>Alex</t>
  </si>
  <si>
    <t>Aaron</t>
  </si>
  <si>
    <t>Jonny</t>
  </si>
  <si>
    <t>Luke</t>
  </si>
  <si>
    <t>Ryan</t>
  </si>
  <si>
    <t>Matthew</t>
  </si>
  <si>
    <t>Jojo</t>
  </si>
  <si>
    <t>Gavin</t>
  </si>
  <si>
    <t>TELAVIV</t>
  </si>
  <si>
    <t>PTS</t>
  </si>
  <si>
    <t>DAB</t>
  </si>
  <si>
    <t>ECTA</t>
  </si>
  <si>
    <t>THREES</t>
  </si>
  <si>
    <t>TELAVIV vs DAB</t>
  </si>
  <si>
    <t>ECTA vs THREES</t>
  </si>
  <si>
    <t>WEEK 1</t>
  </si>
  <si>
    <t>WEEK 2</t>
  </si>
  <si>
    <t>tblTEAM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</si>
</sst>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10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3633A7-B508-4709-9F5A-B05B6DC120C6}" name="tblPLAYER" displayName="tblPLAYER" ref="A1:N13" totalsRowShown="0">
  <autoFilter ref="A1:N13" xr:uid="{6A3633A7-B508-4709-9F5A-B05B6DC120C6}"/>
  <sortState xmlns:xlrd2="http://schemas.microsoft.com/office/spreadsheetml/2017/richdata2" ref="A2:N13">
    <sortCondition descending="1" ref="K1:K13"/>
  </sortState>
  <tableColumns count="14">
    <tableColumn id="1" xr3:uid="{70CB70EA-2721-458E-A051-561803C7C813}" name="Player"/>
    <tableColumn id="14" xr3:uid="{4BACB5B0-DE7C-4D33-ACB6-D76427E4067E}" name="Team"/>
    <tableColumn id="2" xr3:uid="{E3D663D7-94BA-456F-B948-4BDA7E6D68B4}" name="PPG" dataDxfId="9">
      <calculatedColumnFormula>SUMIF('Game Logs'!A:A, A2, 'Game Logs'!B:B)/N2</calculatedColumnFormula>
    </tableColumn>
    <tableColumn id="3" xr3:uid="{C3D9DE24-CD2F-4BD3-B398-8CD8EA7AB1EF}" name="RPG">
      <calculatedColumnFormula>SUMIF('Game Logs'!A:A, A2, 'Game Logs'!G:G)/N2</calculatedColumnFormula>
    </tableColumn>
    <tableColumn id="4" xr3:uid="{3526FC2C-D37C-4401-A26B-34BF515BE2E9}" name="APG">
      <calculatedColumnFormula>SUMIF('Game Logs'!A:A, A2, 'Game Logs'!H:H)/N2</calculatedColumnFormula>
    </tableColumn>
    <tableColumn id="5" xr3:uid="{1F3D0B40-63F9-4DDA-8BCD-A3EC1F072E6B}" name="FGM">
      <calculatedColumnFormula>SUMIF('Game Logs'!A:A, A2, 'Game Logs'!D:D)/N2</calculatedColumnFormula>
    </tableColumn>
    <tableColumn id="6" xr3:uid="{C809B3D9-B2A1-4629-9023-D33C7C36AAE1}" name="FGA">
      <calculatedColumnFormula>SUMIF('Game Logs'!A:A, A2, 'Game Logs'!C:C)/N2</calculatedColumnFormula>
    </tableColumn>
    <tableColumn id="7" xr3:uid="{737F5667-C1F5-49CC-82A4-7CCC898A7F93}" name="3PM">
      <calculatedColumnFormula>SUMIF('Game Logs'!A:A, A2, 'Game Logs'!F:F)/N2</calculatedColumnFormula>
    </tableColumn>
    <tableColumn id="8" xr3:uid="{98A353FD-EFAD-4407-AC3D-8E726B97EDA9}" name="3PA">
      <calculatedColumnFormula>SUMIF('Game Logs'!A:A, A2, 'Game Logs'!E:E)/N2</calculatedColumnFormula>
    </tableColumn>
    <tableColumn id="9" xr3:uid="{9D0E70F4-AB11-43E5-9941-4513EF0C296B}" name="FG%" dataDxfId="8">
      <calculatedColumnFormula>(F2/G2)*100</calculatedColumnFormula>
    </tableColumn>
    <tableColumn id="10" xr3:uid="{584EC2D8-CDB7-49A1-9FDE-CC4B8E119293}" name="3PT%" dataDxfId="7">
      <calculatedColumnFormula>(H2/I2)*100</calculatedColumnFormula>
    </tableColumn>
    <tableColumn id="11" xr3:uid="{BC0F35B7-90E0-4C86-B679-D7A135A408EB}" name="SPG">
      <calculatedColumnFormula>SUMIF('Game Logs'!A:A, A2, 'Game Logs'!I:I)/N2</calculatedColumnFormula>
    </tableColumn>
    <tableColumn id="12" xr3:uid="{E3B7C84D-88A2-48AF-AF5B-F56C35CAA579}" name="BPG">
      <calculatedColumnFormula>SUMIF('Game Logs'!A:A, A2, 'Game Logs'!J:J)/N2</calculatedColumnFormula>
    </tableColumn>
    <tableColumn id="13" xr3:uid="{904B3678-0DDE-45C2-B0B9-8D1DA6614DAF}" name="GP">
      <calculatedColumnFormula>COUNTIF('Game Logs'!A:A, A2)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437820-FE2B-4979-B050-D728255704EF}" name="Table2" displayName="Table2" ref="A1:J5" totalsRowShown="0">
  <autoFilter ref="A1:J5" xr:uid="{59437820-FE2B-4979-B050-D728255704EF}"/>
  <tableColumns count="10">
    <tableColumn id="1" xr3:uid="{79CB4948-9E18-4C91-9E8B-B233D66A7171}" name="tblTEAM"/>
    <tableColumn id="2" xr3:uid="{10611A3D-6F17-465B-A3FC-B7827FD508AD}" name="W"/>
    <tableColumn id="3" xr3:uid="{E842B49B-10FB-4AE3-A111-C0E2CA636F92}" name="L"/>
    <tableColumn id="4" xr3:uid="{EC3F42B5-8D33-45C8-9B07-801DBFFCB345}" name="PPG" dataDxfId="6">
      <calculatedColumnFormula>SUMIF('Season Stats'!B:B,A2,'Season Stats'!C:C)</calculatedColumnFormula>
    </tableColumn>
    <tableColumn id="5" xr3:uid="{4BA94F50-7E37-4A37-9A15-233863093111}" name="FG%" dataDxfId="5">
      <calculatedColumnFormula>SUMIF('Season Stats'!B:B,A2,'Season Stats'!F:F)/SUMIF('Season Stats'!B:B,A2,'Season Stats'!G:G)*100</calculatedColumnFormula>
    </tableColumn>
    <tableColumn id="6" xr3:uid="{67BD4ECC-3028-4E05-90D7-FFC446C6C916}" name="3P%" dataDxfId="4">
      <calculatedColumnFormula>SUMIF('Season Stats'!B:B,A2,'Season Stats'!H:H)/SUMIF('Season Stats'!B:B,A2,'Season Stats'!I:I)*100</calculatedColumnFormula>
    </tableColumn>
    <tableColumn id="7" xr3:uid="{C4BC46DC-EFF4-497E-AD75-7FD7BEEAF9C5}" name="RPG" dataDxfId="3">
      <calculatedColumnFormula>SUMIF('Season Stats'!B:B,A2,'Season Stats'!D:D)</calculatedColumnFormula>
    </tableColumn>
    <tableColumn id="8" xr3:uid="{173D4234-52A8-4C2A-9530-77067FEF4EF0}" name="AST" dataDxfId="2">
      <calculatedColumnFormula>SUMIF('Season Stats'!B:B,A2,'Season Stats'!E:E)</calculatedColumnFormula>
    </tableColumn>
    <tableColumn id="9" xr3:uid="{FDC0F3CE-987B-422C-BEDF-EEEFFE67FA60}" name="BLK" dataDxfId="1">
      <calculatedColumnFormula>SUMIF('Season Stats'!B:B,A2,'Season Stats'!M:M)</calculatedColumnFormula>
    </tableColumn>
    <tableColumn id="10" xr3:uid="{EA206B18-E098-419C-98FF-8EE0D25A586D}" name="STL" dataDxfId="0">
      <calculatedColumnFormula>SUMIF('Season Stats'!B:B,A2,'Season Stats'!L:L)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913B4-FB31-4AA3-B445-E3A57FBF505E}">
  <dimension ref="A1:N14"/>
  <sheetViews>
    <sheetView workbookViewId="0">
      <selection activeCell="C9" sqref="C9"/>
    </sheetView>
  </sheetViews>
  <sheetFormatPr defaultRowHeight="14.5" x14ac:dyDescent="0.35"/>
  <sheetData>
    <row r="1" spans="1:14" x14ac:dyDescent="0.35">
      <c r="A1" t="s">
        <v>0</v>
      </c>
      <c r="B1" t="s">
        <v>9</v>
      </c>
      <c r="C1" t="s">
        <v>1</v>
      </c>
      <c r="D1" t="s">
        <v>2</v>
      </c>
      <c r="E1" t="s">
        <v>4</v>
      </c>
      <c r="F1" t="s">
        <v>17</v>
      </c>
      <c r="G1" t="s">
        <v>16</v>
      </c>
      <c r="H1" t="s">
        <v>18</v>
      </c>
      <c r="I1" t="s">
        <v>19</v>
      </c>
      <c r="J1" t="s">
        <v>3</v>
      </c>
      <c r="K1" t="s">
        <v>5</v>
      </c>
      <c r="L1" t="s">
        <v>6</v>
      </c>
      <c r="M1" t="s">
        <v>7</v>
      </c>
      <c r="N1" t="s">
        <v>8</v>
      </c>
    </row>
    <row r="2" spans="1:14" x14ac:dyDescent="0.35">
      <c r="A2" t="s">
        <v>23</v>
      </c>
      <c r="B2" t="s">
        <v>33</v>
      </c>
      <c r="C2" s="3">
        <f>SUMIF('Game Logs'!A:A, A2, 'Game Logs'!B:B)/N2</f>
        <v>5</v>
      </c>
      <c r="D2">
        <f>SUMIF('Game Logs'!A:A, A2, 'Game Logs'!G:G)/N2</f>
        <v>2.5</v>
      </c>
      <c r="E2">
        <f>SUMIF('Game Logs'!A:A, A2, 'Game Logs'!H:H)/N2</f>
        <v>2</v>
      </c>
      <c r="F2">
        <f>SUMIF('Game Logs'!A:A, A2, 'Game Logs'!D:D)/N2</f>
        <v>2</v>
      </c>
      <c r="G2">
        <f>SUMIF('Game Logs'!A:A, A2, 'Game Logs'!C:C)/N2</f>
        <v>3</v>
      </c>
      <c r="H2">
        <f>SUMIF('Game Logs'!A:A, A2, 'Game Logs'!F:F)/N2</f>
        <v>1</v>
      </c>
      <c r="I2">
        <f>SUMIF('Game Logs'!A:A, A2, 'Game Logs'!E:E)/N2</f>
        <v>1</v>
      </c>
      <c r="J2" s="3">
        <f t="shared" ref="J2:J13" si="0">(F2/G2)*100</f>
        <v>66.666666666666657</v>
      </c>
      <c r="K2" s="3">
        <f t="shared" ref="K2:K13" si="1">(H2/I2)*100</f>
        <v>100</v>
      </c>
      <c r="L2">
        <f>SUMIF('Game Logs'!A:A, A2, 'Game Logs'!I:I)/N2</f>
        <v>1</v>
      </c>
      <c r="M2">
        <f>SUMIF('Game Logs'!A:A, A2, 'Game Logs'!J:J)/N2</f>
        <v>1</v>
      </c>
      <c r="N2">
        <f>COUNTIF('Game Logs'!A:A, A2)</f>
        <v>2</v>
      </c>
    </row>
    <row r="3" spans="1:14" x14ac:dyDescent="0.35">
      <c r="A3" t="s">
        <v>29</v>
      </c>
      <c r="B3" t="s">
        <v>37</v>
      </c>
      <c r="C3" s="3">
        <f>SUMIF('Game Logs'!A:A, A3, 'Game Logs'!B:B)/N3</f>
        <v>5</v>
      </c>
      <c r="D3">
        <f>SUMIF('Game Logs'!A:A, A3, 'Game Logs'!G:G)/N3</f>
        <v>8</v>
      </c>
      <c r="E3">
        <f>SUMIF('Game Logs'!A:A, A3, 'Game Logs'!H:H)/N3</f>
        <v>2</v>
      </c>
      <c r="F3">
        <f>SUMIF('Game Logs'!A:A, A3, 'Game Logs'!D:D)/N3</f>
        <v>2</v>
      </c>
      <c r="G3">
        <f>SUMIF('Game Logs'!A:A, A3, 'Game Logs'!C:C)/N3</f>
        <v>3</v>
      </c>
      <c r="H3">
        <f>SUMIF('Game Logs'!A:A, A3, 'Game Logs'!F:F)/N3</f>
        <v>1</v>
      </c>
      <c r="I3">
        <f>SUMIF('Game Logs'!A:A, A3, 'Game Logs'!E:E)/N3</f>
        <v>1</v>
      </c>
      <c r="J3" s="3">
        <f t="shared" si="0"/>
        <v>66.666666666666657</v>
      </c>
      <c r="K3" s="3">
        <f t="shared" si="1"/>
        <v>100</v>
      </c>
      <c r="L3">
        <f>SUMIF('Game Logs'!A:A, A3, 'Game Logs'!I:I)/N3</f>
        <v>1</v>
      </c>
      <c r="M3">
        <f>SUMIF('Game Logs'!A:A, A3, 'Game Logs'!J:J)/N3</f>
        <v>1</v>
      </c>
      <c r="N3">
        <f>COUNTIF('Game Logs'!A:A, A3)</f>
        <v>1</v>
      </c>
    </row>
    <row r="4" spans="1:14" x14ac:dyDescent="0.35">
      <c r="A4" t="s">
        <v>30</v>
      </c>
      <c r="B4" t="s">
        <v>35</v>
      </c>
      <c r="C4" s="3">
        <f>SUMIF('Game Logs'!A:A, A4, 'Game Logs'!B:B)/N4</f>
        <v>5</v>
      </c>
      <c r="D4">
        <f>SUMIF('Game Logs'!A:A, A4, 'Game Logs'!G:G)/N4</f>
        <v>1.5</v>
      </c>
      <c r="E4">
        <f>SUMIF('Game Logs'!A:A, A4, 'Game Logs'!H:H)/N4</f>
        <v>2</v>
      </c>
      <c r="F4">
        <f>SUMIF('Game Logs'!A:A, A4, 'Game Logs'!D:D)/N4</f>
        <v>2</v>
      </c>
      <c r="G4">
        <f>SUMIF('Game Logs'!A:A, A4, 'Game Logs'!C:C)/N4</f>
        <v>3</v>
      </c>
      <c r="H4">
        <f>SUMIF('Game Logs'!A:A, A4, 'Game Logs'!F:F)/N4</f>
        <v>1</v>
      </c>
      <c r="I4">
        <f>SUMIF('Game Logs'!A:A, A4, 'Game Logs'!E:E)/N4</f>
        <v>1</v>
      </c>
      <c r="J4" s="3">
        <f t="shared" si="0"/>
        <v>66.666666666666657</v>
      </c>
      <c r="K4" s="3">
        <f t="shared" si="1"/>
        <v>100</v>
      </c>
      <c r="L4">
        <f>SUMIF('Game Logs'!A:A, A4, 'Game Logs'!I:I)/N4</f>
        <v>1</v>
      </c>
      <c r="M4">
        <f>SUMIF('Game Logs'!A:A, A4, 'Game Logs'!J:J)/N4</f>
        <v>1</v>
      </c>
      <c r="N4">
        <f>COUNTIF('Game Logs'!A:A, A4)</f>
        <v>2</v>
      </c>
    </row>
    <row r="5" spans="1:14" x14ac:dyDescent="0.35">
      <c r="A5" t="s">
        <v>28</v>
      </c>
      <c r="B5" t="s">
        <v>37</v>
      </c>
      <c r="C5" s="3">
        <f>SUMIF('Game Logs'!A:A, A5, 'Game Logs'!B:B)/N5</f>
        <v>5</v>
      </c>
      <c r="D5">
        <f>SUMIF('Game Logs'!A:A, A5, 'Game Logs'!G:G)/N5</f>
        <v>2</v>
      </c>
      <c r="E5">
        <f>SUMIF('Game Logs'!A:A, A5, 'Game Logs'!H:H)/N5</f>
        <v>2</v>
      </c>
      <c r="F5">
        <f>SUMIF('Game Logs'!A:A, A5, 'Game Logs'!D:D)/N5</f>
        <v>2</v>
      </c>
      <c r="G5">
        <f>SUMIF('Game Logs'!A:A, A5, 'Game Logs'!C:C)/N5</f>
        <v>3</v>
      </c>
      <c r="H5">
        <f>SUMIF('Game Logs'!A:A, A5, 'Game Logs'!F:F)/N5</f>
        <v>1</v>
      </c>
      <c r="I5">
        <f>SUMIF('Game Logs'!A:A, A5, 'Game Logs'!E:E)/N5</f>
        <v>1</v>
      </c>
      <c r="J5" s="3">
        <f t="shared" si="0"/>
        <v>66.666666666666657</v>
      </c>
      <c r="K5" s="3">
        <f t="shared" si="1"/>
        <v>100</v>
      </c>
      <c r="L5">
        <f>SUMIF('Game Logs'!A:A, A5, 'Game Logs'!I:I)/N5</f>
        <v>1</v>
      </c>
      <c r="M5">
        <f>SUMIF('Game Logs'!A:A, A5, 'Game Logs'!J:J)/N5</f>
        <v>1</v>
      </c>
      <c r="N5">
        <f>COUNTIF('Game Logs'!A:A, A5)</f>
        <v>1</v>
      </c>
    </row>
    <row r="6" spans="1:14" x14ac:dyDescent="0.35">
      <c r="A6" t="s">
        <v>27</v>
      </c>
      <c r="B6" t="s">
        <v>37</v>
      </c>
      <c r="C6" s="3">
        <f>SUMIF('Game Logs'!A:A, A6, 'Game Logs'!B:B)/N6</f>
        <v>5</v>
      </c>
      <c r="D6">
        <f>SUMIF('Game Logs'!A:A, A6, 'Game Logs'!G:G)/N6</f>
        <v>1</v>
      </c>
      <c r="E6">
        <f>SUMIF('Game Logs'!A:A, A6, 'Game Logs'!H:H)/N6</f>
        <v>2</v>
      </c>
      <c r="F6">
        <f>SUMIF('Game Logs'!A:A, A6, 'Game Logs'!D:D)/N6</f>
        <v>2</v>
      </c>
      <c r="G6">
        <f>SUMIF('Game Logs'!A:A, A6, 'Game Logs'!C:C)/N6</f>
        <v>3</v>
      </c>
      <c r="H6">
        <f>SUMIF('Game Logs'!A:A, A6, 'Game Logs'!F:F)/N6</f>
        <v>1</v>
      </c>
      <c r="I6">
        <f>SUMIF('Game Logs'!A:A, A6, 'Game Logs'!E:E)/N6</f>
        <v>1</v>
      </c>
      <c r="J6" s="3">
        <f t="shared" si="0"/>
        <v>66.666666666666657</v>
      </c>
      <c r="K6" s="3">
        <f t="shared" si="1"/>
        <v>100</v>
      </c>
      <c r="L6">
        <f>SUMIF('Game Logs'!A:A, A6, 'Game Logs'!I:I)/N6</f>
        <v>1</v>
      </c>
      <c r="M6">
        <f>SUMIF('Game Logs'!A:A, A6, 'Game Logs'!J:J)/N6</f>
        <v>1</v>
      </c>
      <c r="N6">
        <f>COUNTIF('Game Logs'!A:A, A6)</f>
        <v>1</v>
      </c>
    </row>
    <row r="7" spans="1:14" x14ac:dyDescent="0.35">
      <c r="A7" t="s">
        <v>31</v>
      </c>
      <c r="B7" t="s">
        <v>35</v>
      </c>
      <c r="C7" s="3">
        <f>SUMIF('Game Logs'!A:A, A7, 'Game Logs'!B:B)/N7</f>
        <v>5</v>
      </c>
      <c r="D7">
        <f>SUMIF('Game Logs'!A:A, A7, 'Game Logs'!G:G)/N7</f>
        <v>1.5</v>
      </c>
      <c r="E7">
        <f>SUMIF('Game Logs'!A:A, A7, 'Game Logs'!H:H)/N7</f>
        <v>2</v>
      </c>
      <c r="F7">
        <f>SUMIF('Game Logs'!A:A, A7, 'Game Logs'!D:D)/N7</f>
        <v>2</v>
      </c>
      <c r="G7">
        <f>SUMIF('Game Logs'!A:A, A7, 'Game Logs'!C:C)/N7</f>
        <v>3</v>
      </c>
      <c r="H7">
        <f>SUMIF('Game Logs'!A:A, A7, 'Game Logs'!F:F)/N7</f>
        <v>1</v>
      </c>
      <c r="I7">
        <f>SUMIF('Game Logs'!A:A, A7, 'Game Logs'!E:E)/N7</f>
        <v>1</v>
      </c>
      <c r="J7" s="3">
        <f t="shared" si="0"/>
        <v>66.666666666666657</v>
      </c>
      <c r="K7" s="3">
        <f t="shared" si="1"/>
        <v>100</v>
      </c>
      <c r="L7">
        <f>SUMIF('Game Logs'!A:A, A7, 'Game Logs'!I:I)/N7</f>
        <v>1</v>
      </c>
      <c r="M7">
        <f>SUMIF('Game Logs'!A:A, A7, 'Game Logs'!J:J)/N7</f>
        <v>1</v>
      </c>
      <c r="N7">
        <f>COUNTIF('Game Logs'!A:A, A7)</f>
        <v>2</v>
      </c>
    </row>
    <row r="8" spans="1:14" x14ac:dyDescent="0.35">
      <c r="A8" t="s">
        <v>32</v>
      </c>
      <c r="B8" t="s">
        <v>35</v>
      </c>
      <c r="C8" s="3">
        <f>SUMIF('Game Logs'!A:A, A8, 'Game Logs'!B:B)/N8</f>
        <v>5</v>
      </c>
      <c r="D8">
        <f>SUMIF('Game Logs'!A:A, A8, 'Game Logs'!G:G)/N8</f>
        <v>5</v>
      </c>
      <c r="E8">
        <f>SUMIF('Game Logs'!A:A, A8, 'Game Logs'!H:H)/N8</f>
        <v>2</v>
      </c>
      <c r="F8">
        <f>SUMIF('Game Logs'!A:A, A8, 'Game Logs'!D:D)/N8</f>
        <v>2</v>
      </c>
      <c r="G8">
        <f>SUMIF('Game Logs'!A:A, A8, 'Game Logs'!C:C)/N8</f>
        <v>3</v>
      </c>
      <c r="H8">
        <f>SUMIF('Game Logs'!A:A, A8, 'Game Logs'!F:F)/N8</f>
        <v>1</v>
      </c>
      <c r="I8">
        <f>SUMIF('Game Logs'!A:A, A8, 'Game Logs'!E:E)/N8</f>
        <v>1</v>
      </c>
      <c r="J8" s="3">
        <f t="shared" si="0"/>
        <v>66.666666666666657</v>
      </c>
      <c r="K8" s="3">
        <f t="shared" si="1"/>
        <v>100</v>
      </c>
      <c r="L8">
        <f>SUMIF('Game Logs'!A:A, A8, 'Game Logs'!I:I)/N8</f>
        <v>1</v>
      </c>
      <c r="M8">
        <f>SUMIF('Game Logs'!A:A, A8, 'Game Logs'!J:J)/N8</f>
        <v>1</v>
      </c>
      <c r="N8">
        <f>COUNTIF('Game Logs'!A:A, A8)</f>
        <v>2</v>
      </c>
    </row>
    <row r="9" spans="1:14" x14ac:dyDescent="0.35">
      <c r="A9" t="s">
        <v>21</v>
      </c>
      <c r="B9" t="s">
        <v>33</v>
      </c>
      <c r="C9" s="3">
        <f>SUMIF('Game Logs'!A:A, A9, 'Game Logs'!B:B)/N9</f>
        <v>5</v>
      </c>
      <c r="D9">
        <f>SUMIF('Game Logs'!A:A, A9, 'Game Logs'!G:G)/N9</f>
        <v>4.5</v>
      </c>
      <c r="E9">
        <f>SUMIF('Game Logs'!A:A, A9, 'Game Logs'!H:H)/N9</f>
        <v>2</v>
      </c>
      <c r="F9">
        <f>SUMIF('Game Logs'!A:A, A9, 'Game Logs'!D:D)/N9</f>
        <v>2</v>
      </c>
      <c r="G9">
        <f>SUMIF('Game Logs'!A:A, A9, 'Game Logs'!C:C)/N9</f>
        <v>3</v>
      </c>
      <c r="H9">
        <f>SUMIF('Game Logs'!A:A, A9, 'Game Logs'!F:F)/N9</f>
        <v>1</v>
      </c>
      <c r="I9">
        <f>SUMIF('Game Logs'!A:A, A9, 'Game Logs'!E:E)/N9</f>
        <v>1</v>
      </c>
      <c r="J9" s="3">
        <f t="shared" si="0"/>
        <v>66.666666666666657</v>
      </c>
      <c r="K9" s="3">
        <f t="shared" si="1"/>
        <v>100</v>
      </c>
      <c r="L9">
        <f>SUMIF('Game Logs'!A:A, A9, 'Game Logs'!I:I)/N9</f>
        <v>1</v>
      </c>
      <c r="M9">
        <f>SUMIF('Game Logs'!A:A, A9, 'Game Logs'!J:J)/N9</f>
        <v>1</v>
      </c>
      <c r="N9">
        <f>COUNTIF('Game Logs'!A:A, A9)</f>
        <v>2</v>
      </c>
    </row>
    <row r="10" spans="1:14" x14ac:dyDescent="0.35">
      <c r="A10" t="s">
        <v>25</v>
      </c>
      <c r="B10" t="s">
        <v>36</v>
      </c>
      <c r="C10" s="3">
        <f>SUMIF('Game Logs'!A:A, A10, 'Game Logs'!B:B)/N10</f>
        <v>5</v>
      </c>
      <c r="D10">
        <f>SUMIF('Game Logs'!A:A, A10, 'Game Logs'!G:G)/N10</f>
        <v>5</v>
      </c>
      <c r="E10">
        <f>SUMIF('Game Logs'!A:A, A10, 'Game Logs'!H:H)/N10</f>
        <v>2</v>
      </c>
      <c r="F10">
        <f>SUMIF('Game Logs'!A:A, A10, 'Game Logs'!D:D)/N10</f>
        <v>2</v>
      </c>
      <c r="G10">
        <f>SUMIF('Game Logs'!A:A, A10, 'Game Logs'!C:C)/N10</f>
        <v>3</v>
      </c>
      <c r="H10">
        <f>SUMIF('Game Logs'!A:A, A10, 'Game Logs'!F:F)/N10</f>
        <v>1</v>
      </c>
      <c r="I10">
        <f>SUMIF('Game Logs'!A:A, A10, 'Game Logs'!E:E)/N10</f>
        <v>1</v>
      </c>
      <c r="J10" s="3">
        <f t="shared" si="0"/>
        <v>66.666666666666657</v>
      </c>
      <c r="K10" s="3">
        <f t="shared" si="1"/>
        <v>100</v>
      </c>
      <c r="L10">
        <f>SUMIF('Game Logs'!A:A, A10, 'Game Logs'!I:I)/N10</f>
        <v>1</v>
      </c>
      <c r="M10">
        <f>SUMIF('Game Logs'!A:A, A10, 'Game Logs'!J:J)/N10</f>
        <v>1</v>
      </c>
      <c r="N10">
        <f>COUNTIF('Game Logs'!A:A, A10)</f>
        <v>1</v>
      </c>
    </row>
    <row r="11" spans="1:14" x14ac:dyDescent="0.35">
      <c r="A11" t="s">
        <v>26</v>
      </c>
      <c r="B11" t="s">
        <v>36</v>
      </c>
      <c r="C11" s="3">
        <f>SUMIF('Game Logs'!A:A, A11, 'Game Logs'!B:B)/N11</f>
        <v>5</v>
      </c>
      <c r="D11">
        <f>SUMIF('Game Logs'!A:A, A11, 'Game Logs'!G:G)/N11</f>
        <v>2</v>
      </c>
      <c r="E11">
        <f>SUMIF('Game Logs'!A:A, A11, 'Game Logs'!H:H)/N11</f>
        <v>2</v>
      </c>
      <c r="F11">
        <f>SUMIF('Game Logs'!A:A, A11, 'Game Logs'!D:D)/N11</f>
        <v>2</v>
      </c>
      <c r="G11">
        <f>SUMIF('Game Logs'!A:A, A11, 'Game Logs'!C:C)/N11</f>
        <v>3</v>
      </c>
      <c r="H11">
        <f>SUMIF('Game Logs'!A:A, A11, 'Game Logs'!F:F)/N11</f>
        <v>1</v>
      </c>
      <c r="I11">
        <f>SUMIF('Game Logs'!A:A, A11, 'Game Logs'!E:E)/N11</f>
        <v>1</v>
      </c>
      <c r="J11" s="3">
        <f t="shared" si="0"/>
        <v>66.666666666666657</v>
      </c>
      <c r="K11" s="3">
        <f t="shared" si="1"/>
        <v>100</v>
      </c>
      <c r="L11">
        <f>SUMIF('Game Logs'!A:A, A11, 'Game Logs'!I:I)/N11</f>
        <v>1</v>
      </c>
      <c r="M11">
        <f>SUMIF('Game Logs'!A:A, A11, 'Game Logs'!J:J)/N11</f>
        <v>1</v>
      </c>
      <c r="N11">
        <f>COUNTIF('Game Logs'!A:A, A11)</f>
        <v>1</v>
      </c>
    </row>
    <row r="12" spans="1:14" x14ac:dyDescent="0.35">
      <c r="A12" t="s">
        <v>22</v>
      </c>
      <c r="B12" t="s">
        <v>33</v>
      </c>
      <c r="C12" s="3">
        <f>SUMIF('Game Logs'!A:A, A12, 'Game Logs'!B:B)/N12</f>
        <v>20</v>
      </c>
      <c r="D12">
        <f>SUMIF('Game Logs'!A:A, A12, 'Game Logs'!G:G)/N12</f>
        <v>4</v>
      </c>
      <c r="E12">
        <f>SUMIF('Game Logs'!A:A, A12, 'Game Logs'!H:H)/N12</f>
        <v>3</v>
      </c>
      <c r="F12">
        <f>SUMIF('Game Logs'!A:A, A12, 'Game Logs'!D:D)/N12</f>
        <v>9</v>
      </c>
      <c r="G12">
        <f>SUMIF('Game Logs'!A:A, A12, 'Game Logs'!C:C)/N12</f>
        <v>15</v>
      </c>
      <c r="H12">
        <f>SUMIF('Game Logs'!A:A, A12, 'Game Logs'!F:F)/N12</f>
        <v>2</v>
      </c>
      <c r="I12">
        <f>SUMIF('Game Logs'!A:A, A12, 'Game Logs'!E:E)/N12</f>
        <v>5</v>
      </c>
      <c r="J12" s="3">
        <f t="shared" si="0"/>
        <v>60</v>
      </c>
      <c r="K12" s="3">
        <f t="shared" si="1"/>
        <v>40</v>
      </c>
      <c r="L12">
        <f>SUMIF('Game Logs'!A:A, A12, 'Game Logs'!I:I)/N12</f>
        <v>2</v>
      </c>
      <c r="M12">
        <f>SUMIF('Game Logs'!A:A, A12, 'Game Logs'!J:J)/N12</f>
        <v>1</v>
      </c>
      <c r="N12">
        <f>COUNTIF('Game Logs'!A:A, A12)</f>
        <v>2</v>
      </c>
    </row>
    <row r="13" spans="1:14" x14ac:dyDescent="0.35">
      <c r="A13" t="s">
        <v>24</v>
      </c>
      <c r="B13" t="s">
        <v>36</v>
      </c>
      <c r="C13" s="3">
        <f>SUMIF('Game Logs'!A:A, A13, 'Game Logs'!B:B)/N13</f>
        <v>20</v>
      </c>
      <c r="D13">
        <f>SUMIF('Game Logs'!A:A, A13, 'Game Logs'!G:G)/N13</f>
        <v>3</v>
      </c>
      <c r="E13">
        <f>SUMIF('Game Logs'!A:A, A13, 'Game Logs'!H:H)/N13</f>
        <v>3</v>
      </c>
      <c r="F13">
        <f>SUMIF('Game Logs'!A:A, A13, 'Game Logs'!D:D)/N13</f>
        <v>9</v>
      </c>
      <c r="G13">
        <f>SUMIF('Game Logs'!A:A, A13, 'Game Logs'!C:C)/N13</f>
        <v>15</v>
      </c>
      <c r="H13">
        <f>SUMIF('Game Logs'!A:A, A13, 'Game Logs'!F:F)/N13</f>
        <v>2</v>
      </c>
      <c r="I13">
        <f>SUMIF('Game Logs'!A:A, A13, 'Game Logs'!E:E)/N13</f>
        <v>5</v>
      </c>
      <c r="J13" s="3">
        <f t="shared" si="0"/>
        <v>60</v>
      </c>
      <c r="K13" s="3">
        <f t="shared" si="1"/>
        <v>40</v>
      </c>
      <c r="L13">
        <f>SUMIF('Game Logs'!A:A, A13, 'Game Logs'!I:I)/N13</f>
        <v>2</v>
      </c>
      <c r="M13">
        <f>SUMIF('Game Logs'!A:A, A13, 'Game Logs'!J:J)/N13</f>
        <v>1</v>
      </c>
      <c r="N13">
        <f>COUNTIF('Game Logs'!A:A, A13)</f>
        <v>1</v>
      </c>
    </row>
    <row r="14" spans="1:14" x14ac:dyDescent="0.35">
      <c r="J14" s="2"/>
      <c r="K14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14009-9815-4F30-BB15-37CBC717D4F8}">
  <dimension ref="A1:J27"/>
  <sheetViews>
    <sheetView tabSelected="1" workbookViewId="0">
      <selection activeCell="L6" sqref="L6"/>
    </sheetView>
  </sheetViews>
  <sheetFormatPr defaultRowHeight="14.5" x14ac:dyDescent="0.35"/>
  <cols>
    <col min="1" max="1" width="18" bestFit="1" customWidth="1"/>
  </cols>
  <sheetData>
    <row r="1" spans="1:10" x14ac:dyDescent="0.35">
      <c r="A1" s="1" t="s">
        <v>40</v>
      </c>
    </row>
    <row r="2" spans="1:10" x14ac:dyDescent="0.35">
      <c r="A2" s="1"/>
    </row>
    <row r="3" spans="1:10" x14ac:dyDescent="0.35">
      <c r="A3" s="1" t="s">
        <v>38</v>
      </c>
      <c r="B3" t="s">
        <v>34</v>
      </c>
      <c r="C3" t="s">
        <v>16</v>
      </c>
      <c r="D3" t="s">
        <v>17</v>
      </c>
      <c r="E3" t="s">
        <v>19</v>
      </c>
      <c r="F3" t="s">
        <v>18</v>
      </c>
      <c r="G3" t="s">
        <v>13</v>
      </c>
      <c r="H3" t="s">
        <v>20</v>
      </c>
      <c r="I3" t="s">
        <v>15</v>
      </c>
      <c r="J3" t="s">
        <v>14</v>
      </c>
    </row>
    <row r="4" spans="1:10" x14ac:dyDescent="0.35">
      <c r="A4" t="s">
        <v>22</v>
      </c>
      <c r="B4">
        <v>20</v>
      </c>
      <c r="C4">
        <v>15</v>
      </c>
      <c r="D4">
        <v>9</v>
      </c>
      <c r="E4">
        <v>5</v>
      </c>
      <c r="F4">
        <v>2</v>
      </c>
      <c r="G4">
        <v>5</v>
      </c>
      <c r="H4">
        <v>3</v>
      </c>
      <c r="I4">
        <v>2</v>
      </c>
      <c r="J4">
        <v>1</v>
      </c>
    </row>
    <row r="5" spans="1:10" x14ac:dyDescent="0.35">
      <c r="A5" t="s">
        <v>21</v>
      </c>
      <c r="B5">
        <v>5</v>
      </c>
      <c r="C5">
        <v>3</v>
      </c>
      <c r="D5">
        <v>2</v>
      </c>
      <c r="E5">
        <v>1</v>
      </c>
      <c r="F5">
        <v>1</v>
      </c>
      <c r="G5">
        <v>4</v>
      </c>
      <c r="H5">
        <v>2</v>
      </c>
      <c r="I5">
        <v>1</v>
      </c>
      <c r="J5">
        <v>1</v>
      </c>
    </row>
    <row r="6" spans="1:10" x14ac:dyDescent="0.35">
      <c r="A6" t="s">
        <v>23</v>
      </c>
      <c r="B6">
        <v>5</v>
      </c>
      <c r="C6">
        <v>3</v>
      </c>
      <c r="D6">
        <v>2</v>
      </c>
      <c r="E6">
        <v>1</v>
      </c>
      <c r="F6">
        <v>1</v>
      </c>
      <c r="G6">
        <v>3</v>
      </c>
      <c r="H6">
        <v>2</v>
      </c>
      <c r="I6">
        <v>1</v>
      </c>
      <c r="J6">
        <v>1</v>
      </c>
    </row>
    <row r="7" spans="1:10" x14ac:dyDescent="0.35">
      <c r="A7" t="s">
        <v>30</v>
      </c>
      <c r="B7">
        <v>5</v>
      </c>
      <c r="C7">
        <v>3</v>
      </c>
      <c r="D7">
        <v>2</v>
      </c>
      <c r="E7">
        <v>1</v>
      </c>
      <c r="F7">
        <v>1</v>
      </c>
      <c r="G7">
        <v>2</v>
      </c>
      <c r="H7">
        <v>2</v>
      </c>
      <c r="I7">
        <v>1</v>
      </c>
      <c r="J7">
        <v>1</v>
      </c>
    </row>
    <row r="8" spans="1:10" x14ac:dyDescent="0.35">
      <c r="A8" t="s">
        <v>31</v>
      </c>
      <c r="B8">
        <v>5</v>
      </c>
      <c r="C8">
        <v>3</v>
      </c>
      <c r="D8">
        <v>2</v>
      </c>
      <c r="E8">
        <v>1</v>
      </c>
      <c r="F8">
        <v>1</v>
      </c>
      <c r="G8">
        <v>1</v>
      </c>
      <c r="H8">
        <v>2</v>
      </c>
      <c r="I8">
        <v>1</v>
      </c>
      <c r="J8">
        <v>1</v>
      </c>
    </row>
    <row r="9" spans="1:10" x14ac:dyDescent="0.35">
      <c r="A9" t="s">
        <v>32</v>
      </c>
      <c r="B9">
        <v>5</v>
      </c>
      <c r="C9">
        <v>3</v>
      </c>
      <c r="D9">
        <v>2</v>
      </c>
      <c r="E9">
        <v>1</v>
      </c>
      <c r="F9">
        <v>1</v>
      </c>
      <c r="G9">
        <v>2</v>
      </c>
      <c r="H9">
        <v>2</v>
      </c>
      <c r="I9">
        <v>1</v>
      </c>
      <c r="J9">
        <v>1</v>
      </c>
    </row>
    <row r="11" spans="1:10" x14ac:dyDescent="0.35">
      <c r="A11" s="1" t="s">
        <v>39</v>
      </c>
    </row>
    <row r="12" spans="1:10" x14ac:dyDescent="0.35">
      <c r="A12" t="s">
        <v>24</v>
      </c>
      <c r="B12">
        <v>20</v>
      </c>
      <c r="C12">
        <v>15</v>
      </c>
      <c r="D12">
        <v>9</v>
      </c>
      <c r="E12">
        <v>5</v>
      </c>
      <c r="F12">
        <v>2</v>
      </c>
      <c r="G12">
        <v>3</v>
      </c>
      <c r="H12">
        <v>3</v>
      </c>
      <c r="I12">
        <v>2</v>
      </c>
      <c r="J12">
        <v>1</v>
      </c>
    </row>
    <row r="13" spans="1:10" x14ac:dyDescent="0.35">
      <c r="A13" t="s">
        <v>25</v>
      </c>
      <c r="B13">
        <v>5</v>
      </c>
      <c r="C13">
        <v>3</v>
      </c>
      <c r="D13">
        <v>2</v>
      </c>
      <c r="E13">
        <v>1</v>
      </c>
      <c r="F13">
        <v>1</v>
      </c>
      <c r="G13">
        <v>5</v>
      </c>
      <c r="H13">
        <v>2</v>
      </c>
      <c r="I13">
        <v>1</v>
      </c>
      <c r="J13">
        <v>1</v>
      </c>
    </row>
    <row r="14" spans="1:10" x14ac:dyDescent="0.35">
      <c r="A14" t="s">
        <v>26</v>
      </c>
      <c r="B14">
        <v>5</v>
      </c>
      <c r="C14">
        <v>3</v>
      </c>
      <c r="D14">
        <v>2</v>
      </c>
      <c r="E14">
        <v>1</v>
      </c>
      <c r="F14">
        <v>1</v>
      </c>
      <c r="G14">
        <v>2</v>
      </c>
      <c r="H14">
        <v>2</v>
      </c>
      <c r="I14">
        <v>1</v>
      </c>
      <c r="J14">
        <v>1</v>
      </c>
    </row>
    <row r="15" spans="1:10" x14ac:dyDescent="0.35">
      <c r="A15" t="s">
        <v>27</v>
      </c>
      <c r="B15">
        <v>5</v>
      </c>
      <c r="C15">
        <v>3</v>
      </c>
      <c r="D15">
        <v>2</v>
      </c>
      <c r="E15">
        <v>1</v>
      </c>
      <c r="F15">
        <v>1</v>
      </c>
      <c r="G15">
        <v>1</v>
      </c>
      <c r="H15">
        <v>2</v>
      </c>
      <c r="I15">
        <v>1</v>
      </c>
      <c r="J15">
        <v>1</v>
      </c>
    </row>
    <row r="16" spans="1:10" x14ac:dyDescent="0.35">
      <c r="A16" t="s">
        <v>28</v>
      </c>
      <c r="B16">
        <v>5</v>
      </c>
      <c r="C16">
        <v>3</v>
      </c>
      <c r="D16">
        <v>2</v>
      </c>
      <c r="E16">
        <v>1</v>
      </c>
      <c r="F16">
        <v>1</v>
      </c>
      <c r="G16">
        <v>2</v>
      </c>
      <c r="H16">
        <v>2</v>
      </c>
      <c r="I16">
        <v>1</v>
      </c>
      <c r="J16">
        <v>1</v>
      </c>
    </row>
    <row r="17" spans="1:10" x14ac:dyDescent="0.35">
      <c r="A17" t="s">
        <v>29</v>
      </c>
      <c r="B17">
        <v>5</v>
      </c>
      <c r="C17">
        <v>3</v>
      </c>
      <c r="D17">
        <v>2</v>
      </c>
      <c r="E17">
        <v>1</v>
      </c>
      <c r="F17">
        <v>1</v>
      </c>
      <c r="G17">
        <v>8</v>
      </c>
      <c r="H17">
        <v>2</v>
      </c>
      <c r="I17">
        <v>1</v>
      </c>
      <c r="J17">
        <v>1</v>
      </c>
    </row>
    <row r="19" spans="1:10" x14ac:dyDescent="0.35">
      <c r="A19" s="1" t="s">
        <v>41</v>
      </c>
    </row>
    <row r="21" spans="1:10" x14ac:dyDescent="0.35">
      <c r="A21" s="1" t="s">
        <v>38</v>
      </c>
    </row>
    <row r="22" spans="1:10" x14ac:dyDescent="0.35">
      <c r="A22" t="s">
        <v>22</v>
      </c>
      <c r="B22">
        <v>20</v>
      </c>
      <c r="C22">
        <v>15</v>
      </c>
      <c r="D22">
        <v>9</v>
      </c>
      <c r="E22">
        <v>5</v>
      </c>
      <c r="F22">
        <v>2</v>
      </c>
      <c r="G22">
        <v>3</v>
      </c>
      <c r="H22">
        <v>3</v>
      </c>
      <c r="I22">
        <v>2</v>
      </c>
      <c r="J22">
        <v>1</v>
      </c>
    </row>
    <row r="23" spans="1:10" x14ac:dyDescent="0.35">
      <c r="A23" t="s">
        <v>21</v>
      </c>
      <c r="B23">
        <v>5</v>
      </c>
      <c r="C23">
        <v>3</v>
      </c>
      <c r="D23">
        <v>2</v>
      </c>
      <c r="E23">
        <v>1</v>
      </c>
      <c r="F23">
        <v>1</v>
      </c>
      <c r="G23">
        <v>5</v>
      </c>
      <c r="H23">
        <v>2</v>
      </c>
      <c r="I23">
        <v>1</v>
      </c>
      <c r="J23">
        <v>1</v>
      </c>
    </row>
    <row r="24" spans="1:10" x14ac:dyDescent="0.35">
      <c r="A24" t="s">
        <v>23</v>
      </c>
      <c r="B24">
        <v>5</v>
      </c>
      <c r="C24">
        <v>3</v>
      </c>
      <c r="D24">
        <v>2</v>
      </c>
      <c r="E24">
        <v>1</v>
      </c>
      <c r="F24">
        <v>1</v>
      </c>
      <c r="G24">
        <v>2</v>
      </c>
      <c r="H24">
        <v>2</v>
      </c>
      <c r="I24">
        <v>1</v>
      </c>
      <c r="J24">
        <v>1</v>
      </c>
    </row>
    <row r="25" spans="1:10" x14ac:dyDescent="0.35">
      <c r="A25" t="s">
        <v>30</v>
      </c>
      <c r="B25">
        <v>5</v>
      </c>
      <c r="C25">
        <v>3</v>
      </c>
      <c r="D25">
        <v>2</v>
      </c>
      <c r="E25">
        <v>1</v>
      </c>
      <c r="F25">
        <v>1</v>
      </c>
      <c r="G25">
        <v>1</v>
      </c>
      <c r="H25">
        <v>2</v>
      </c>
      <c r="I25">
        <v>1</v>
      </c>
      <c r="J25">
        <v>1</v>
      </c>
    </row>
    <row r="26" spans="1:10" x14ac:dyDescent="0.35">
      <c r="A26" t="s">
        <v>31</v>
      </c>
      <c r="B26">
        <v>5</v>
      </c>
      <c r="C26">
        <v>3</v>
      </c>
      <c r="D26">
        <v>2</v>
      </c>
      <c r="E26">
        <v>1</v>
      </c>
      <c r="F26">
        <v>1</v>
      </c>
      <c r="G26">
        <v>2</v>
      </c>
      <c r="H26">
        <v>2</v>
      </c>
      <c r="I26">
        <v>1</v>
      </c>
      <c r="J26">
        <v>1</v>
      </c>
    </row>
    <row r="27" spans="1:10" x14ac:dyDescent="0.35">
      <c r="A27" t="s">
        <v>32</v>
      </c>
      <c r="B27">
        <v>5</v>
      </c>
      <c r="C27">
        <v>3</v>
      </c>
      <c r="D27">
        <v>2</v>
      </c>
      <c r="E27">
        <v>1</v>
      </c>
      <c r="F27">
        <v>1</v>
      </c>
      <c r="G27">
        <v>8</v>
      </c>
      <c r="H27">
        <v>2</v>
      </c>
      <c r="I27">
        <v>1</v>
      </c>
      <c r="J27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CED42-D3F6-44D2-ACA4-47FE08BC3E33}">
  <dimension ref="A1:J5"/>
  <sheetViews>
    <sheetView workbookViewId="0">
      <selection activeCell="C5" sqref="C5"/>
    </sheetView>
  </sheetViews>
  <sheetFormatPr defaultRowHeight="14.5" x14ac:dyDescent="0.35"/>
  <sheetData>
    <row r="1" spans="1:10" x14ac:dyDescent="0.35">
      <c r="A1" t="s">
        <v>42</v>
      </c>
      <c r="B1" t="s">
        <v>10</v>
      </c>
      <c r="C1" t="s">
        <v>11</v>
      </c>
      <c r="D1" t="s">
        <v>1</v>
      </c>
      <c r="E1" t="s">
        <v>3</v>
      </c>
      <c r="F1" t="s">
        <v>12</v>
      </c>
      <c r="G1" t="s">
        <v>2</v>
      </c>
      <c r="H1" t="s">
        <v>20</v>
      </c>
      <c r="I1" t="s">
        <v>14</v>
      </c>
      <c r="J1" t="s">
        <v>15</v>
      </c>
    </row>
    <row r="2" spans="1:10" x14ac:dyDescent="0.35">
      <c r="A2" t="s">
        <v>33</v>
      </c>
      <c r="B2">
        <v>0</v>
      </c>
      <c r="C2">
        <v>0</v>
      </c>
      <c r="D2" s="3">
        <f>SUMIF('Season Stats'!B:B,A2,'Season Stats'!C:C)</f>
        <v>30</v>
      </c>
      <c r="E2" s="3">
        <f>SUMIF('Season Stats'!B:B,A2,'Season Stats'!F:F)/SUMIF('Season Stats'!B:B,A2,'Season Stats'!G:G)*100</f>
        <v>61.904761904761905</v>
      </c>
      <c r="F2" s="3">
        <f>SUMIF('Season Stats'!B:B,A2,'Season Stats'!H:H)/SUMIF('Season Stats'!B:B,A2,'Season Stats'!I:I)*100</f>
        <v>57.142857142857139</v>
      </c>
      <c r="G2" s="3">
        <f>SUMIF('Season Stats'!B:B,A2,'Season Stats'!D:D)</f>
        <v>11</v>
      </c>
      <c r="H2" s="3">
        <f>SUMIF('Season Stats'!B:B,A2,'Season Stats'!E:E)</f>
        <v>7</v>
      </c>
      <c r="I2" s="3">
        <f>SUMIF('Season Stats'!B:B,A2,'Season Stats'!M:M)</f>
        <v>3</v>
      </c>
      <c r="J2" s="3">
        <f>SUMIF('Season Stats'!B:B,A2,'Season Stats'!L:L)</f>
        <v>4</v>
      </c>
    </row>
    <row r="3" spans="1:10" x14ac:dyDescent="0.35">
      <c r="A3" t="s">
        <v>35</v>
      </c>
      <c r="B3">
        <v>0</v>
      </c>
      <c r="C3">
        <v>0</v>
      </c>
      <c r="D3" s="3">
        <f>SUMIF('Season Stats'!B:B,A3,'Season Stats'!C:C)</f>
        <v>15</v>
      </c>
      <c r="E3" s="3">
        <f>SUMIF('Season Stats'!B:B,A3,'Season Stats'!F:F)/SUMIF('Season Stats'!B:B,A3,'Season Stats'!G:G)*100</f>
        <v>66.666666666666657</v>
      </c>
      <c r="F3" s="3">
        <f>SUMIF('Season Stats'!B:B,A3,'Season Stats'!H:H)/SUMIF('Season Stats'!B:B,A3,'Season Stats'!I:I)*100</f>
        <v>100</v>
      </c>
      <c r="G3" s="3">
        <f>SUMIF('Season Stats'!B:B,A3,'Season Stats'!D:D)</f>
        <v>8</v>
      </c>
      <c r="H3" s="3">
        <f>SUMIF('Season Stats'!B:B,A3,'Season Stats'!E:E)</f>
        <v>6</v>
      </c>
      <c r="I3" s="3">
        <f>SUMIF('Season Stats'!B:B,A3,'Season Stats'!M:M)</f>
        <v>3</v>
      </c>
      <c r="J3" s="3">
        <f>SUMIF('Season Stats'!B:B,A3,'Season Stats'!L:L)</f>
        <v>3</v>
      </c>
    </row>
    <row r="4" spans="1:10" x14ac:dyDescent="0.35">
      <c r="A4" t="s">
        <v>36</v>
      </c>
      <c r="B4">
        <v>0</v>
      </c>
      <c r="C4">
        <v>0</v>
      </c>
      <c r="D4" s="3">
        <f>SUMIF('Season Stats'!B:B,A4,'Season Stats'!C:C)</f>
        <v>30</v>
      </c>
      <c r="E4" s="3">
        <f>SUMIF('Season Stats'!B:B,A4,'Season Stats'!F:F)/SUMIF('Season Stats'!B:B,A4,'Season Stats'!G:G)*100</f>
        <v>61.904761904761905</v>
      </c>
      <c r="F4" s="3">
        <f>SUMIF('Season Stats'!B:B,A4,'Season Stats'!H:H)/SUMIF('Season Stats'!B:B,A4,'Season Stats'!I:I)*100</f>
        <v>57.142857142857139</v>
      </c>
      <c r="G4" s="3">
        <f>SUMIF('Season Stats'!B:B,A4,'Season Stats'!D:D)</f>
        <v>10</v>
      </c>
      <c r="H4" s="3">
        <f>SUMIF('Season Stats'!B:B,A4,'Season Stats'!E:E)</f>
        <v>7</v>
      </c>
      <c r="I4" s="3">
        <f>SUMIF('Season Stats'!B:B,A4,'Season Stats'!M:M)</f>
        <v>3</v>
      </c>
      <c r="J4" s="3">
        <f>SUMIF('Season Stats'!B:B,A4,'Season Stats'!L:L)</f>
        <v>4</v>
      </c>
    </row>
    <row r="5" spans="1:10" x14ac:dyDescent="0.35">
      <c r="A5" t="s">
        <v>37</v>
      </c>
      <c r="B5">
        <v>0</v>
      </c>
      <c r="C5">
        <v>0</v>
      </c>
      <c r="D5" s="3">
        <f>SUMIF('Season Stats'!B:B,A5,'Season Stats'!C:C)</f>
        <v>15</v>
      </c>
      <c r="E5" s="3">
        <f>SUMIF('Season Stats'!B:B,A5,'Season Stats'!F:F)/SUMIF('Season Stats'!B:B,A5,'Season Stats'!G:G)*100</f>
        <v>66.666666666666657</v>
      </c>
      <c r="F5" s="3">
        <f>SUMIF('Season Stats'!B:B,A5,'Season Stats'!H:H)/SUMIF('Season Stats'!B:B,A5,'Season Stats'!I:I)*100</f>
        <v>100</v>
      </c>
      <c r="G5" s="3">
        <f>SUMIF('Season Stats'!B:B,A5,'Season Stats'!D:D)</f>
        <v>11</v>
      </c>
      <c r="H5" s="3">
        <f>SUMIF('Season Stats'!B:B,A5,'Season Stats'!E:E)</f>
        <v>6</v>
      </c>
      <c r="I5" s="3">
        <f>SUMIF('Season Stats'!B:B,A5,'Season Stats'!M:M)</f>
        <v>3</v>
      </c>
      <c r="J5" s="3">
        <f>SUMIF('Season Stats'!B:B,A5,'Season Stats'!L:L)</f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Season Stats</vt:lpstr>
      <vt:lpstr>Game Logs</vt:lpstr>
      <vt:lpstr>Team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Ranucci</dc:creator>
  <cp:lastModifiedBy>Andrew Ranucci</cp:lastModifiedBy>
  <dcterms:created xsi:type="dcterms:W3CDTF">2026-03-02T20:13:36Z</dcterms:created>
  <dcterms:modified xsi:type="dcterms:W3CDTF">2026-03-03T20:04:11Z</dcterms:modified>
</cp:coreProperties>
</file>